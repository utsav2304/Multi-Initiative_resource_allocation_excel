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3"/>
    <sheet name="Resource Capacity" sheetId="2" state="visible" r:id="rId4"/>
    <sheet name="Allocation Tracker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<sst xmlns="http://schemas.openxmlformats.org/spreadsheetml/2006/main" count="161" uniqueCount="85">
  <si>
    <t xml:space="preserve">Multi-Initiative Resource Allocation &amp; Prioritization Tracker</t>
  </si>
  <si>
    <t xml:space="preserve">Task-level log across three concurrent initiatives sharing a common Budget / Staff-Hour / Vendor-Slot pool for the quarter</t>
  </si>
  <si>
    <t xml:space="preserve">Task ID</t>
  </si>
  <si>
    <t xml:space="preserve">Initiative</t>
  </si>
  <si>
    <t xml:space="preserve">Task Name</t>
  </si>
  <si>
    <t xml:space="preserve">Owner</t>
  </si>
  <si>
    <t xml:space="preserve">Start Date</t>
  </si>
  <si>
    <t xml:space="preserve">Deadline</t>
  </si>
  <si>
    <t xml:space="preserve">Impact (1-5)</t>
  </si>
  <si>
    <t xml:space="preserve">Urgency (1-5)</t>
  </si>
  <si>
    <t xml:space="preserve">Priority Score</t>
  </si>
  <si>
    <t xml:space="preserve">Priority Rank</t>
  </si>
  <si>
    <t xml:space="preserve">Status</t>
  </si>
  <si>
    <t xml:space="preserve">Budget Required (Rs.)</t>
  </si>
  <si>
    <t xml:space="preserve">Staff Hours Required</t>
  </si>
  <si>
    <t xml:space="preserve">Vendor Slots Required</t>
  </si>
  <si>
    <t xml:space="preserve">Product Launch - SolarX</t>
  </si>
  <si>
    <t xml:space="preserve">Finalize product packaging design</t>
  </si>
  <si>
    <t xml:space="preserve">Rahul</t>
  </si>
  <si>
    <t xml:space="preserve">In Progress</t>
  </si>
  <si>
    <t xml:space="preserve">Vendor selection for print material</t>
  </si>
  <si>
    <t xml:space="preserve">Planned</t>
  </si>
  <si>
    <t xml:space="preserve">Launch event venue booking</t>
  </si>
  <si>
    <t xml:space="preserve">Priya</t>
  </si>
  <si>
    <t xml:space="preserve">Social media campaign setup</t>
  </si>
  <si>
    <t xml:space="preserve">Sneha</t>
  </si>
  <si>
    <t xml:space="preserve">Product demo video production</t>
  </si>
  <si>
    <t xml:space="preserve">Aman</t>
  </si>
  <si>
    <t xml:space="preserve">Press release drafting</t>
  </si>
  <si>
    <t xml:space="preserve">Completed</t>
  </si>
  <si>
    <t xml:space="preserve">Influencer outreach</t>
  </si>
  <si>
    <t xml:space="preserve">Post-launch feedback survey</t>
  </si>
  <si>
    <t xml:space="preserve">Cancelled</t>
  </si>
  <si>
    <t xml:space="preserve">Campus Hiring Drive</t>
  </si>
  <si>
    <t xml:space="preserve">Shortlist target campuses</t>
  </si>
  <si>
    <t xml:space="preserve">Karan</t>
  </si>
  <si>
    <t xml:space="preserve">Prepare JD and assessment test</t>
  </si>
  <si>
    <t xml:space="preserve">Book campus visit logistics</t>
  </si>
  <si>
    <t xml:space="preserve">Nisha</t>
  </si>
  <si>
    <t xml:space="preserve">Conduct pre-placement talks</t>
  </si>
  <si>
    <t xml:space="preserve">Schedule interview panels</t>
  </si>
  <si>
    <t xml:space="preserve">Offer letter processing</t>
  </si>
  <si>
    <t xml:space="preserve">Onboarding kit preparation</t>
  </si>
  <si>
    <t xml:space="preserve">Post-drive feedback report</t>
  </si>
  <si>
    <t xml:space="preserve">Annual Partner Meet</t>
  </si>
  <si>
    <t xml:space="preserve">Venue shortlisting and booking</t>
  </si>
  <si>
    <t xml:space="preserve">Meera</t>
  </si>
  <si>
    <t xml:space="preserve">Catering vendor finalization</t>
  </si>
  <si>
    <t xml:space="preserve">Guest list and invites</t>
  </si>
  <si>
    <t xml:space="preserve">Vikram</t>
  </si>
  <si>
    <t xml:space="preserve">Stage and AV setup coordination</t>
  </si>
  <si>
    <t xml:space="preserve">Travel and accommodation for guests</t>
  </si>
  <si>
    <t xml:space="preserve">Event day run-sheet planning</t>
  </si>
  <si>
    <t xml:space="preserve">Gifting and merchandise sourcing</t>
  </si>
  <si>
    <t xml:space="preserve">Post-event feedback and report</t>
  </si>
  <si>
    <t xml:space="preserve">Shared Resource Pool - Quarter Capacity</t>
  </si>
  <si>
    <t xml:space="preserve">Edit the yellow cells to test different capacity scenarios</t>
  </si>
  <si>
    <t xml:space="preserve">Resource Type</t>
  </si>
  <si>
    <t xml:space="preserve">Total Available (Quarter)</t>
  </si>
  <si>
    <t xml:space="preserve">Unit</t>
  </si>
  <si>
    <t xml:space="preserve">Budget</t>
  </si>
  <si>
    <t xml:space="preserve">Rs.</t>
  </si>
  <si>
    <t xml:space="preserve">Staff Hours</t>
  </si>
  <si>
    <t xml:space="preserve">hrs</t>
  </si>
  <si>
    <t xml:space="preserve">Vendor Slots</t>
  </si>
  <si>
    <t xml:space="preserve">slots</t>
  </si>
  <si>
    <t xml:space="preserve">Resource Allocation &amp; Bottleneck Tracker</t>
  </si>
  <si>
    <t xml:space="preserve">Allocated = sum of all non-Cancelled tasks in Tasks sheet</t>
  </si>
  <si>
    <t xml:space="preserve">Total Available</t>
  </si>
  <si>
    <t xml:space="preserve">Allocated (Active Tasks)</t>
  </si>
  <si>
    <t xml:space="preserve">Utilization %</t>
  </si>
  <si>
    <t xml:space="preserve">Bottleneck Flag</t>
  </si>
  <si>
    <t xml:space="preserve">Allocation by Initiative (active tasks only)</t>
  </si>
  <si>
    <t xml:space="preserve">Budget Allocated (Rs.)</t>
  </si>
  <si>
    <t xml:space="preserve">Staff Hours Allocated</t>
  </si>
  <si>
    <t xml:space="preserve">Vendor Slots Allocated</t>
  </si>
  <si>
    <t xml:space="preserve">Resource Allocation Dashboard</t>
  </si>
  <si>
    <t xml:space="preserve">Total Active Tasks</t>
  </si>
  <si>
    <t xml:space="preserve">Cancelled Tasks</t>
  </si>
  <si>
    <t xml:space="preserve">Resources Over-Allocated</t>
  </si>
  <si>
    <t xml:space="preserve">Resource</t>
  </si>
  <si>
    <t xml:space="preserve">Task Count</t>
  </si>
  <si>
    <t xml:space="preserve">Budget Allocated</t>
  </si>
  <si>
    <t xml:space="preserve">Top 5 Priority Tasks (Recommended Resource Allocation Order)</t>
  </si>
  <si>
    <t xml:space="preserve">Rank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</si>
</sst>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"/>
    <numFmt numFmtId="166" formatCode="General"/>
    <numFmt numFmtId="167" formatCode="#,##0"/>
    <numFmt numFmtId="168" formatCode="0.0%"/>
    <numFmt numFmtId="169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i val="1"/>
        <color rgb="FF999999"/>
      </font>
      <fill>
        <patternFill>
          <bgColor rgb="FFF2F2F2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ont>
        <name val="Arial"/>
        <charset val="1"/>
        <family val="0"/>
        <b val="1"/>
      </font>
      <fill>
        <patternFill>
          <bgColor rgb="FFC6E0B4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699"/>
        </patternFill>
      </fill>
    </dxf>
    <dxf>
      <font>
        <name val="Arial"/>
        <charset val="1"/>
        <family val="0"/>
        <b val="1"/>
        <color rgb="FF375623"/>
      </font>
      <fill>
        <patternFill>
          <bgColor rgb="FFC6E0B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E2EFDA"/>
      <rgbColor rgb="FFFFE699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Resource Utilization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Dashboard!B7</c:f>
              <c:strCache>
                <c:ptCount val="1"/>
                <c:pt idx="0">
                  <c:v>Utilization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Dashboard!$A$8:$A$10</c:f>
              <c:strCache>
                <c:ptCount val="3"/>
                <c:pt idx="0">
                  <c:v>Budget</c:v>
                </c:pt>
                <c:pt idx="1">
                  <c:v>Staff Hours</c:v>
                </c:pt>
                <c:pt idx="2">
                  <c:v>Vendor Slots</c:v>
                </c:pt>
              </c:strCache>
            </c:strRef>
          </c:cat>
          <c:val>
            <c:numRef>
              <c:f>Dashboard!$B$8:$B$10</c:f>
              <c:numCache>
                <c:formatCode>0.0%</c:formatCode>
                <c:ptCount val="3"/>
                <c:pt idx="0">
                  <c:v>1.648</c:v>
                </c:pt>
                <c:pt idx="1">
                  <c:v>0.921818181818182</c:v>
                </c:pt>
                <c:pt idx="2">
                  <c:v>0.771428571428572</c:v>
                </c:pt>
              </c:numCache>
            </c:numRef>
          </c:val>
        </c:ser>
        <c:gapWidth val="150"/>
        <c:overlap val="0"/>
        <c:axId val="51347025"/>
        <c:axId val="89858561"/>
      </c:barChart>
      <c:catAx>
        <c:axId val="513470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858561"/>
        <c:crosses val="autoZero"/>
        <c:auto val="1"/>
        <c:lblAlgn val="ctr"/>
        <c:lblOffset val="100"/>
        <c:noMultiLvlLbl val="0"/>
      </c:catAx>
      <c:valAx>
        <c:axId val="898585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Utilization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3470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Tasks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Dashboard!E7</c:f>
              <c:strCache>
                <c:ptCount val="1"/>
                <c:pt idx="0">
                  <c:v>Task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Dashboard!$D$8:$D$11</c:f>
              <c:strCache>
                <c:ptCount val="4"/>
                <c:pt idx="0">
                  <c:v>In Progress</c:v>
                </c:pt>
                <c:pt idx="1">
                  <c:v>Planned</c:v>
                </c:pt>
                <c:pt idx="2">
                  <c:v>Completed</c:v>
                </c:pt>
                <c:pt idx="3">
                  <c:v>Cancelled</c:v>
                </c:pt>
              </c:strCache>
            </c:strRef>
          </c:cat>
          <c:val>
            <c:numRef>
              <c:f>Dashboard!$E$8:$E$11</c:f>
              <c:numCache>
                <c:formatCode>General</c:formatCode>
                <c:ptCount val="4"/>
                <c:pt idx="0">
                  <c:v>7</c:v>
                </c:pt>
                <c:pt idx="1">
                  <c:v>12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</c:ser>
        <c:gapWidth val="150"/>
        <c:overlap val="0"/>
        <c:axId val="22393761"/>
        <c:axId val="9188093"/>
      </c:barChart>
      <c:catAx>
        <c:axId val="223937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88093"/>
        <c:crosses val="autoZero"/>
        <c:auto val="1"/>
        <c:lblAlgn val="ctr"/>
        <c:lblOffset val="100"/>
        <c:noMultiLvlLbl val="0"/>
      </c:catAx>
      <c:valAx>
        <c:axId val="91880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3937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Allocated by Initiative (Rs.)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Dashboard!H7</c:f>
              <c:strCache>
                <c:ptCount val="1"/>
                <c:pt idx="0">
                  <c:v>Budget Allocated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Dashboard!$G$8:$G$10</c:f>
              <c:strCache>
                <c:ptCount val="3"/>
                <c:pt idx="0">
                  <c:v>Product Launch - SolarX</c:v>
                </c:pt>
                <c:pt idx="1">
                  <c:v>Campus Hiring Drive</c:v>
                </c:pt>
                <c:pt idx="2">
                  <c:v>Annual Partner Meet</c:v>
                </c:pt>
              </c:strCache>
            </c:strRef>
          </c:cat>
          <c:val>
            <c:numRef>
              <c:f>Dashboard!$H$8:$H$10</c:f>
              <c:numCache>
                <c:formatCode>General</c:formatCode>
                <c:ptCount val="3"/>
                <c:pt idx="0">
                  <c:v>285000</c:v>
                </c:pt>
                <c:pt idx="1">
                  <c:v>81000</c:v>
                </c:pt>
                <c:pt idx="2">
                  <c:v>458000</c:v>
                </c:pt>
              </c:numCache>
            </c:numRef>
          </c:val>
        </c:ser>
        <c:gapWidth val="150"/>
        <c:overlap val="0"/>
        <c:axId val="29379353"/>
        <c:axId val="28852817"/>
      </c:barChart>
      <c:catAx>
        <c:axId val="293793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852817"/>
        <c:crosses val="autoZero"/>
        <c:auto val="1"/>
        <c:lblAlgn val="ctr"/>
        <c:lblOffset val="100"/>
        <c:noMultiLvlLbl val="0"/>
      </c:catAx>
      <c:valAx>
        <c:axId val="288528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3793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160560</xdr:rowOff>
    </xdr:from>
    <xdr:to>
      <xdr:col>2</xdr:col>
      <xdr:colOff>654480</xdr:colOff>
      <xdr:row>33</xdr:row>
      <xdr:rowOff>13320</xdr:rowOff>
    </xdr:to>
    <xdr:graphicFrame>
      <xdr:nvGraphicFramePr>
        <xdr:cNvPr id="0" name="Chart 1"/>
        <xdr:cNvGraphicFramePr/>
      </xdr:nvGraphicFramePr>
      <xdr:xfrm>
        <a:off x="0" y="38098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160560</xdr:rowOff>
    </xdr:from>
    <xdr:to>
      <xdr:col>12</xdr:col>
      <xdr:colOff>604800</xdr:colOff>
      <xdr:row>33</xdr:row>
      <xdr:rowOff>13320</xdr:rowOff>
    </xdr:to>
    <xdr:graphicFrame>
      <xdr:nvGraphicFramePr>
        <xdr:cNvPr id="1" name="Chart 2"/>
        <xdr:cNvGraphicFramePr/>
      </xdr:nvGraphicFramePr>
      <xdr:xfrm>
        <a:off x="9444960" y="38098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36</xdr:row>
      <xdr:rowOff>160560</xdr:rowOff>
    </xdr:from>
    <xdr:to>
      <xdr:col>2</xdr:col>
      <xdr:colOff>654480</xdr:colOff>
      <xdr:row>50</xdr:row>
      <xdr:rowOff>13320</xdr:rowOff>
    </xdr:to>
    <xdr:graphicFrame>
      <xdr:nvGraphicFramePr>
        <xdr:cNvPr id="2" name="Chart 3"/>
        <xdr:cNvGraphicFramePr/>
      </xdr:nvGraphicFramePr>
      <xdr:xfrm>
        <a:off x="0" y="704844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8" min="7" style="0" width="10"/>
    <col collapsed="false" customWidth="true" hidden="false" outlineLevel="0" max="10" min="9" style="0" width="11"/>
    <col collapsed="false" customWidth="true" hidden="false" outlineLevel="0" max="11" min="11" style="0" width="12"/>
    <col collapsed="false" customWidth="true" hidden="false" outlineLevel="0" max="12" min="12" style="0" width="16"/>
    <col collapsed="false" customWidth="true" hidden="false" outlineLevel="0" max="14" min="13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n">
        <v>1</v>
      </c>
      <c r="B5" s="4" t="s">
        <v>16</v>
      </c>
      <c r="C5" s="5" t="s">
        <v>17</v>
      </c>
      <c r="D5" s="4" t="s">
        <v>18</v>
      </c>
      <c r="E5" s="6" t="n">
        <v>46266</v>
      </c>
      <c r="F5" s="6" t="n">
        <v>46285</v>
      </c>
      <c r="G5" s="7" t="n">
        <v>5</v>
      </c>
      <c r="H5" s="7" t="n">
        <v>5</v>
      </c>
      <c r="I5" s="4" t="n">
        <f aca="false">G5*H5</f>
        <v>25</v>
      </c>
      <c r="J5" s="8" t="n">
        <f aca="false">RANK(I5,$I$5:$I$28,0)+COUNTIF($I$5:I5,I5)-1</f>
        <v>1</v>
      </c>
      <c r="K5" s="7" t="s">
        <v>19</v>
      </c>
      <c r="L5" s="9" t="n">
        <v>40000</v>
      </c>
      <c r="M5" s="7" t="n">
        <v>30</v>
      </c>
      <c r="N5" s="7" t="n">
        <v>2</v>
      </c>
    </row>
    <row r="6" customFormat="false" ht="15" hidden="false" customHeight="false" outlineLevel="0" collapsed="false">
      <c r="A6" s="4" t="n">
        <v>2</v>
      </c>
      <c r="B6" s="4" t="s">
        <v>16</v>
      </c>
      <c r="C6" s="5" t="s">
        <v>20</v>
      </c>
      <c r="D6" s="4" t="s">
        <v>18</v>
      </c>
      <c r="E6" s="6" t="n">
        <v>46270</v>
      </c>
      <c r="F6" s="6" t="n">
        <v>46290</v>
      </c>
      <c r="G6" s="7" t="n">
        <v>4</v>
      </c>
      <c r="H6" s="7" t="n">
        <v>4</v>
      </c>
      <c r="I6" s="4" t="n">
        <f aca="false">G6*H6</f>
        <v>16</v>
      </c>
      <c r="J6" s="8" t="n">
        <f aca="false">RANK(I6,$I$5:$I$28,0)+COUNTIF($I$5:I6,I6)-1</f>
        <v>9</v>
      </c>
      <c r="K6" s="7" t="s">
        <v>21</v>
      </c>
      <c r="L6" s="9" t="n">
        <v>25000</v>
      </c>
      <c r="M6" s="7" t="n">
        <v>15</v>
      </c>
      <c r="N6" s="7" t="n">
        <v>3</v>
      </c>
    </row>
    <row r="7" customFormat="false" ht="15" hidden="false" customHeight="false" outlineLevel="0" collapsed="false">
      <c r="A7" s="4" t="n">
        <v>3</v>
      </c>
      <c r="B7" s="4" t="s">
        <v>16</v>
      </c>
      <c r="C7" s="5" t="s">
        <v>22</v>
      </c>
      <c r="D7" s="4" t="s">
        <v>23</v>
      </c>
      <c r="E7" s="6" t="n">
        <v>46275</v>
      </c>
      <c r="F7" s="6" t="n">
        <v>46300</v>
      </c>
      <c r="G7" s="7" t="n">
        <v>5</v>
      </c>
      <c r="H7" s="7" t="n">
        <v>3</v>
      </c>
      <c r="I7" s="4" t="n">
        <f aca="false">G7*H7</f>
        <v>15</v>
      </c>
      <c r="J7" s="8" t="n">
        <f aca="false">RANK(I7,$I$5:$I$28,0)+COUNTIF($I$5:I7,I7)-1</f>
        <v>14</v>
      </c>
      <c r="K7" s="7" t="s">
        <v>19</v>
      </c>
      <c r="L7" s="9" t="n">
        <v>80000</v>
      </c>
      <c r="M7" s="7" t="n">
        <v>20</v>
      </c>
      <c r="N7" s="7" t="n">
        <v>2</v>
      </c>
    </row>
    <row r="8" customFormat="false" ht="15" hidden="false" customHeight="false" outlineLevel="0" collapsed="false">
      <c r="A8" s="4" t="n">
        <v>4</v>
      </c>
      <c r="B8" s="4" t="s">
        <v>16</v>
      </c>
      <c r="C8" s="5" t="s">
        <v>24</v>
      </c>
      <c r="D8" s="4" t="s">
        <v>25</v>
      </c>
      <c r="E8" s="6" t="n">
        <v>46273</v>
      </c>
      <c r="F8" s="6" t="n">
        <v>46296</v>
      </c>
      <c r="G8" s="7" t="n">
        <v>4</v>
      </c>
      <c r="H8" s="7" t="n">
        <v>5</v>
      </c>
      <c r="I8" s="4" t="n">
        <f aca="false">G8*H8</f>
        <v>20</v>
      </c>
      <c r="J8" s="8" t="n">
        <f aca="false">RANK(I8,$I$5:$I$28,0)+COUNTIF($I$5:I8,I8)-1</f>
        <v>5</v>
      </c>
      <c r="K8" s="7" t="s">
        <v>19</v>
      </c>
      <c r="L8" s="9" t="n">
        <v>30000</v>
      </c>
      <c r="M8" s="7" t="n">
        <v>40</v>
      </c>
      <c r="N8" s="7" t="n">
        <v>1</v>
      </c>
    </row>
    <row r="9" customFormat="false" ht="15" hidden="false" customHeight="false" outlineLevel="0" collapsed="false">
      <c r="A9" s="4" t="n">
        <v>5</v>
      </c>
      <c r="B9" s="4" t="s">
        <v>16</v>
      </c>
      <c r="C9" s="5" t="s">
        <v>26</v>
      </c>
      <c r="D9" s="4" t="s">
        <v>27</v>
      </c>
      <c r="E9" s="6" t="n">
        <v>46277</v>
      </c>
      <c r="F9" s="6" t="n">
        <v>46305</v>
      </c>
      <c r="G9" s="7" t="n">
        <v>3</v>
      </c>
      <c r="H9" s="7" t="n">
        <v>4</v>
      </c>
      <c r="I9" s="4" t="n">
        <f aca="false">G9*H9</f>
        <v>12</v>
      </c>
      <c r="J9" s="8" t="n">
        <f aca="false">RANK(I9,$I$5:$I$28,0)+COUNTIF($I$5:I9,I9)-1</f>
        <v>16</v>
      </c>
      <c r="K9" s="7" t="s">
        <v>21</v>
      </c>
      <c r="L9" s="9" t="n">
        <v>60000</v>
      </c>
      <c r="M9" s="7" t="n">
        <v>35</v>
      </c>
      <c r="N9" s="7" t="n">
        <v>2</v>
      </c>
    </row>
    <row r="10" customFormat="false" ht="15" hidden="false" customHeight="false" outlineLevel="0" collapsed="false">
      <c r="A10" s="4" t="n">
        <v>6</v>
      </c>
      <c r="B10" s="4" t="s">
        <v>16</v>
      </c>
      <c r="C10" s="5" t="s">
        <v>28</v>
      </c>
      <c r="D10" s="4" t="s">
        <v>23</v>
      </c>
      <c r="E10" s="6" t="n">
        <v>46280</v>
      </c>
      <c r="F10" s="6" t="n">
        <v>46293</v>
      </c>
      <c r="G10" s="7" t="n">
        <v>3</v>
      </c>
      <c r="H10" s="7" t="n">
        <v>5</v>
      </c>
      <c r="I10" s="4" t="n">
        <f aca="false">G10*H10</f>
        <v>15</v>
      </c>
      <c r="J10" s="8" t="n">
        <f aca="false">RANK(I10,$I$5:$I$28,0)+COUNTIF($I$5:I10,I10)-1</f>
        <v>15</v>
      </c>
      <c r="K10" s="7" t="s">
        <v>29</v>
      </c>
      <c r="L10" s="9" t="n">
        <v>5000</v>
      </c>
      <c r="M10" s="7" t="n">
        <v>10</v>
      </c>
      <c r="N10" s="7" t="n">
        <v>0</v>
      </c>
    </row>
    <row r="11" customFormat="false" ht="15" hidden="false" customHeight="false" outlineLevel="0" collapsed="false">
      <c r="A11" s="4" t="n">
        <v>7</v>
      </c>
      <c r="B11" s="4" t="s">
        <v>16</v>
      </c>
      <c r="C11" s="5" t="s">
        <v>30</v>
      </c>
      <c r="D11" s="4" t="s">
        <v>25</v>
      </c>
      <c r="E11" s="6" t="n">
        <v>46283</v>
      </c>
      <c r="F11" s="6" t="n">
        <v>46303</v>
      </c>
      <c r="G11" s="7" t="n">
        <v>4</v>
      </c>
      <c r="H11" s="7" t="n">
        <v>3</v>
      </c>
      <c r="I11" s="4" t="n">
        <f aca="false">G11*H11</f>
        <v>12</v>
      </c>
      <c r="J11" s="8" t="n">
        <f aca="false">RANK(I11,$I$5:$I$28,0)+COUNTIF($I$5:I11,I11)-1</f>
        <v>17</v>
      </c>
      <c r="K11" s="7" t="s">
        <v>21</v>
      </c>
      <c r="L11" s="9" t="n">
        <v>45000</v>
      </c>
      <c r="M11" s="7" t="n">
        <v>20</v>
      </c>
      <c r="N11" s="7" t="n">
        <v>1</v>
      </c>
    </row>
    <row r="12" customFormat="false" ht="15" hidden="false" customHeight="false" outlineLevel="0" collapsed="false">
      <c r="A12" s="4" t="n">
        <v>8</v>
      </c>
      <c r="B12" s="4" t="s">
        <v>16</v>
      </c>
      <c r="C12" s="5" t="s">
        <v>31</v>
      </c>
      <c r="D12" s="4" t="s">
        <v>27</v>
      </c>
      <c r="E12" s="6" t="n">
        <v>46310</v>
      </c>
      <c r="F12" s="6" t="n">
        <v>46325</v>
      </c>
      <c r="G12" s="7" t="n">
        <v>2</v>
      </c>
      <c r="H12" s="7" t="n">
        <v>2</v>
      </c>
      <c r="I12" s="4" t="n">
        <f aca="false">G12*H12</f>
        <v>4</v>
      </c>
      <c r="J12" s="8" t="n">
        <f aca="false">RANK(I12,$I$5:$I$28,0)+COUNTIF($I$5:I12,I12)-1</f>
        <v>21</v>
      </c>
      <c r="K12" s="7" t="s">
        <v>32</v>
      </c>
      <c r="L12" s="9" t="n">
        <v>8000</v>
      </c>
      <c r="M12" s="7" t="n">
        <v>12</v>
      </c>
      <c r="N12" s="7" t="n">
        <v>0</v>
      </c>
    </row>
    <row r="13" customFormat="false" ht="15" hidden="false" customHeight="false" outlineLevel="0" collapsed="false">
      <c r="A13" s="4" t="n">
        <v>9</v>
      </c>
      <c r="B13" s="4" t="s">
        <v>33</v>
      </c>
      <c r="C13" s="5" t="s">
        <v>34</v>
      </c>
      <c r="D13" s="4" t="s">
        <v>35</v>
      </c>
      <c r="E13" s="6" t="n">
        <v>46266</v>
      </c>
      <c r="F13" s="6" t="n">
        <v>46277</v>
      </c>
      <c r="G13" s="7" t="n">
        <v>4</v>
      </c>
      <c r="H13" s="7" t="n">
        <v>4</v>
      </c>
      <c r="I13" s="4" t="n">
        <f aca="false">G13*H13</f>
        <v>16</v>
      </c>
      <c r="J13" s="8" t="n">
        <f aca="false">RANK(I13,$I$5:$I$28,0)+COUNTIF($I$5:I13,I13)-1</f>
        <v>10</v>
      </c>
      <c r="K13" s="7" t="s">
        <v>29</v>
      </c>
      <c r="L13" s="9" t="n">
        <v>5000</v>
      </c>
      <c r="M13" s="7" t="n">
        <v>25</v>
      </c>
      <c r="N13" s="7" t="n">
        <v>0</v>
      </c>
    </row>
    <row r="14" customFormat="false" ht="15" hidden="false" customHeight="false" outlineLevel="0" collapsed="false">
      <c r="A14" s="4" t="n">
        <v>10</v>
      </c>
      <c r="B14" s="4" t="s">
        <v>33</v>
      </c>
      <c r="C14" s="5" t="s">
        <v>36</v>
      </c>
      <c r="D14" s="4" t="s">
        <v>35</v>
      </c>
      <c r="E14" s="6" t="n">
        <v>46268</v>
      </c>
      <c r="F14" s="6" t="n">
        <v>46280</v>
      </c>
      <c r="G14" s="7" t="n">
        <v>4</v>
      </c>
      <c r="H14" s="7" t="n">
        <v>5</v>
      </c>
      <c r="I14" s="4" t="n">
        <f aca="false">G14*H14</f>
        <v>20</v>
      </c>
      <c r="J14" s="8" t="n">
        <f aca="false">RANK(I14,$I$5:$I$28,0)+COUNTIF($I$5:I14,I14)-1</f>
        <v>6</v>
      </c>
      <c r="K14" s="7" t="s">
        <v>29</v>
      </c>
      <c r="L14" s="9" t="n">
        <v>3000</v>
      </c>
      <c r="M14" s="7" t="n">
        <v>20</v>
      </c>
      <c r="N14" s="7" t="n">
        <v>0</v>
      </c>
    </row>
    <row r="15" customFormat="false" ht="15" hidden="false" customHeight="false" outlineLevel="0" collapsed="false">
      <c r="A15" s="4" t="n">
        <v>11</v>
      </c>
      <c r="B15" s="4" t="s">
        <v>33</v>
      </c>
      <c r="C15" s="5" t="s">
        <v>37</v>
      </c>
      <c r="D15" s="4" t="s">
        <v>38</v>
      </c>
      <c r="E15" s="6" t="n">
        <v>46275</v>
      </c>
      <c r="F15" s="6" t="n">
        <v>46296</v>
      </c>
      <c r="G15" s="7" t="n">
        <v>3</v>
      </c>
      <c r="H15" s="7" t="n">
        <v>3</v>
      </c>
      <c r="I15" s="4" t="n">
        <f aca="false">G15*H15</f>
        <v>9</v>
      </c>
      <c r="J15" s="8" t="n">
        <f aca="false">RANK(I15,$I$5:$I$28,0)+COUNTIF($I$5:I15,I15)-1</f>
        <v>19</v>
      </c>
      <c r="K15" s="7" t="s">
        <v>19</v>
      </c>
      <c r="L15" s="9" t="n">
        <v>60000</v>
      </c>
      <c r="M15" s="7" t="n">
        <v>30</v>
      </c>
      <c r="N15" s="7" t="n">
        <v>4</v>
      </c>
    </row>
    <row r="16" customFormat="false" ht="15" hidden="false" customHeight="false" outlineLevel="0" collapsed="false">
      <c r="A16" s="4" t="n">
        <v>12</v>
      </c>
      <c r="B16" s="4" t="s">
        <v>33</v>
      </c>
      <c r="C16" s="5" t="s">
        <v>39</v>
      </c>
      <c r="D16" s="4" t="s">
        <v>38</v>
      </c>
      <c r="E16" s="6" t="n">
        <v>46285</v>
      </c>
      <c r="F16" s="6" t="n">
        <v>46305</v>
      </c>
      <c r="G16" s="7" t="n">
        <v>4</v>
      </c>
      <c r="H16" s="7" t="n">
        <v>4</v>
      </c>
      <c r="I16" s="4" t="n">
        <f aca="false">G16*H16</f>
        <v>16</v>
      </c>
      <c r="J16" s="8" t="n">
        <f aca="false">RANK(I16,$I$5:$I$28,0)+COUNTIF($I$5:I16,I16)-1</f>
        <v>11</v>
      </c>
      <c r="K16" s="7" t="s">
        <v>21</v>
      </c>
      <c r="L16" s="9" t="n">
        <v>10000</v>
      </c>
      <c r="M16" s="7" t="n">
        <v>40</v>
      </c>
      <c r="N16" s="7" t="n">
        <v>0</v>
      </c>
    </row>
    <row r="17" customFormat="false" ht="15" hidden="false" customHeight="false" outlineLevel="0" collapsed="false">
      <c r="A17" s="4" t="n">
        <v>13</v>
      </c>
      <c r="B17" s="4" t="s">
        <v>33</v>
      </c>
      <c r="C17" s="5" t="s">
        <v>40</v>
      </c>
      <c r="D17" s="4" t="s">
        <v>35</v>
      </c>
      <c r="E17" s="6" t="n">
        <v>46290</v>
      </c>
      <c r="F17" s="6" t="n">
        <v>46310</v>
      </c>
      <c r="G17" s="7" t="n">
        <v>5</v>
      </c>
      <c r="H17" s="7" t="n">
        <v>5</v>
      </c>
      <c r="I17" s="4" t="n">
        <f aca="false">G17*H17</f>
        <v>25</v>
      </c>
      <c r="J17" s="8" t="n">
        <f aca="false">RANK(I17,$I$5:$I$28,0)+COUNTIF($I$5:I17,I17)-1</f>
        <v>2</v>
      </c>
      <c r="K17" s="7" t="s">
        <v>21</v>
      </c>
      <c r="L17" s="9" t="n">
        <v>2000</v>
      </c>
      <c r="M17" s="7" t="n">
        <v>35</v>
      </c>
      <c r="N17" s="7" t="n">
        <v>0</v>
      </c>
    </row>
    <row r="18" customFormat="false" ht="15" hidden="false" customHeight="false" outlineLevel="0" collapsed="false">
      <c r="A18" s="4" t="n">
        <v>14</v>
      </c>
      <c r="B18" s="4" t="s">
        <v>33</v>
      </c>
      <c r="C18" s="5" t="s">
        <v>41</v>
      </c>
      <c r="D18" s="4" t="s">
        <v>38</v>
      </c>
      <c r="E18" s="6" t="n">
        <v>46311</v>
      </c>
      <c r="F18" s="6" t="n">
        <v>46320</v>
      </c>
      <c r="G18" s="7" t="n">
        <v>3</v>
      </c>
      <c r="H18" s="7" t="n">
        <v>4</v>
      </c>
      <c r="I18" s="4" t="n">
        <f aca="false">G18*H18</f>
        <v>12</v>
      </c>
      <c r="J18" s="8" t="n">
        <f aca="false">RANK(I18,$I$5:$I$28,0)+COUNTIF($I$5:I18,I18)-1</f>
        <v>18</v>
      </c>
      <c r="K18" s="7" t="s">
        <v>21</v>
      </c>
      <c r="L18" s="9" t="n">
        <v>1000</v>
      </c>
      <c r="M18" s="7" t="n">
        <v>15</v>
      </c>
      <c r="N18" s="7" t="n">
        <v>0</v>
      </c>
    </row>
    <row r="19" customFormat="false" ht="15" hidden="false" customHeight="false" outlineLevel="0" collapsed="false">
      <c r="A19" s="4" t="n">
        <v>15</v>
      </c>
      <c r="B19" s="4" t="s">
        <v>33</v>
      </c>
      <c r="C19" s="5" t="s">
        <v>42</v>
      </c>
      <c r="D19" s="4" t="s">
        <v>35</v>
      </c>
      <c r="E19" s="6" t="n">
        <v>46315</v>
      </c>
      <c r="F19" s="6" t="n">
        <v>46331</v>
      </c>
      <c r="G19" s="7" t="n">
        <v>2</v>
      </c>
      <c r="H19" s="7" t="n">
        <v>2</v>
      </c>
      <c r="I19" s="4" t="n">
        <f aca="false">G19*H19</f>
        <v>4</v>
      </c>
      <c r="J19" s="8" t="n">
        <f aca="false">RANK(I19,$I$5:$I$28,0)+COUNTIF($I$5:I19,I19)-1</f>
        <v>22</v>
      </c>
      <c r="K19" s="7" t="s">
        <v>32</v>
      </c>
      <c r="L19" s="9" t="n">
        <v>20000</v>
      </c>
      <c r="M19" s="7" t="n">
        <v>18</v>
      </c>
      <c r="N19" s="7" t="n">
        <v>2</v>
      </c>
    </row>
    <row r="20" customFormat="false" ht="15" hidden="false" customHeight="false" outlineLevel="0" collapsed="false">
      <c r="A20" s="4" t="n">
        <v>16</v>
      </c>
      <c r="B20" s="4" t="s">
        <v>33</v>
      </c>
      <c r="C20" s="5" t="s">
        <v>43</v>
      </c>
      <c r="D20" s="4" t="s">
        <v>38</v>
      </c>
      <c r="E20" s="6" t="n">
        <v>46327</v>
      </c>
      <c r="F20" s="6" t="n">
        <v>46336</v>
      </c>
      <c r="G20" s="7" t="n">
        <v>2</v>
      </c>
      <c r="H20" s="7" t="n">
        <v>1</v>
      </c>
      <c r="I20" s="4" t="n">
        <f aca="false">G20*H20</f>
        <v>2</v>
      </c>
      <c r="J20" s="8" t="n">
        <f aca="false">RANK(I20,$I$5:$I$28,0)+COUNTIF($I$5:I20,I20)-1</f>
        <v>24</v>
      </c>
      <c r="K20" s="7" t="s">
        <v>21</v>
      </c>
      <c r="L20" s="9" t="n">
        <v>0</v>
      </c>
      <c r="M20" s="7" t="n">
        <v>10</v>
      </c>
      <c r="N20" s="7" t="n">
        <v>0</v>
      </c>
    </row>
    <row r="21" customFormat="false" ht="15" hidden="false" customHeight="false" outlineLevel="0" collapsed="false">
      <c r="A21" s="4" t="n">
        <v>17</v>
      </c>
      <c r="B21" s="4" t="s">
        <v>44</v>
      </c>
      <c r="C21" s="5" t="s">
        <v>45</v>
      </c>
      <c r="D21" s="4" t="s">
        <v>46</v>
      </c>
      <c r="E21" s="6" t="n">
        <v>46266</v>
      </c>
      <c r="F21" s="6" t="n">
        <v>46285</v>
      </c>
      <c r="G21" s="7" t="n">
        <v>5</v>
      </c>
      <c r="H21" s="7" t="n">
        <v>5</v>
      </c>
      <c r="I21" s="4" t="n">
        <f aca="false">G21*H21</f>
        <v>25</v>
      </c>
      <c r="J21" s="8" t="n">
        <f aca="false">RANK(I21,$I$5:$I$28,0)+COUNTIF($I$5:I21,I21)-1</f>
        <v>3</v>
      </c>
      <c r="K21" s="7" t="s">
        <v>19</v>
      </c>
      <c r="L21" s="9" t="n">
        <v>150000</v>
      </c>
      <c r="M21" s="7" t="n">
        <v>25</v>
      </c>
      <c r="N21" s="7" t="n">
        <v>3</v>
      </c>
    </row>
    <row r="22" customFormat="false" ht="15" hidden="false" customHeight="false" outlineLevel="0" collapsed="false">
      <c r="A22" s="4" t="n">
        <v>18</v>
      </c>
      <c r="B22" s="4" t="s">
        <v>44</v>
      </c>
      <c r="C22" s="5" t="s">
        <v>47</v>
      </c>
      <c r="D22" s="4" t="s">
        <v>46</v>
      </c>
      <c r="E22" s="6" t="n">
        <v>46280</v>
      </c>
      <c r="F22" s="6" t="n">
        <v>46300</v>
      </c>
      <c r="G22" s="7" t="n">
        <v>4</v>
      </c>
      <c r="H22" s="7" t="n">
        <v>4</v>
      </c>
      <c r="I22" s="4" t="n">
        <f aca="false">G22*H22</f>
        <v>16</v>
      </c>
      <c r="J22" s="8" t="n">
        <f aca="false">RANK(I22,$I$5:$I$28,0)+COUNTIF($I$5:I22,I22)-1</f>
        <v>12</v>
      </c>
      <c r="K22" s="7" t="s">
        <v>21</v>
      </c>
      <c r="L22" s="9" t="n">
        <v>70000</v>
      </c>
      <c r="M22" s="7" t="n">
        <v>15</v>
      </c>
      <c r="N22" s="7" t="n">
        <v>2</v>
      </c>
    </row>
    <row r="23" customFormat="false" ht="15" hidden="false" customHeight="false" outlineLevel="0" collapsed="false">
      <c r="A23" s="4" t="n">
        <v>19</v>
      </c>
      <c r="B23" s="4" t="s">
        <v>44</v>
      </c>
      <c r="C23" s="5" t="s">
        <v>48</v>
      </c>
      <c r="D23" s="4" t="s">
        <v>49</v>
      </c>
      <c r="E23" s="6" t="n">
        <v>46275</v>
      </c>
      <c r="F23" s="6" t="n">
        <v>46296</v>
      </c>
      <c r="G23" s="7" t="n">
        <v>4</v>
      </c>
      <c r="H23" s="7" t="n">
        <v>5</v>
      </c>
      <c r="I23" s="4" t="n">
        <f aca="false">G23*H23</f>
        <v>20</v>
      </c>
      <c r="J23" s="8" t="n">
        <f aca="false">RANK(I23,$I$5:$I$28,0)+COUNTIF($I$5:I23,I23)-1</f>
        <v>7</v>
      </c>
      <c r="K23" s="7" t="s">
        <v>19</v>
      </c>
      <c r="L23" s="9" t="n">
        <v>8000</v>
      </c>
      <c r="M23" s="7" t="n">
        <v>20</v>
      </c>
      <c r="N23" s="7" t="n">
        <v>0</v>
      </c>
    </row>
    <row r="24" customFormat="false" ht="15" hidden="false" customHeight="false" outlineLevel="0" collapsed="false">
      <c r="A24" s="4" t="n">
        <v>20</v>
      </c>
      <c r="B24" s="4" t="s">
        <v>44</v>
      </c>
      <c r="C24" s="5" t="s">
        <v>50</v>
      </c>
      <c r="D24" s="4" t="s">
        <v>49</v>
      </c>
      <c r="E24" s="6" t="n">
        <v>46296</v>
      </c>
      <c r="F24" s="6" t="n">
        <v>46320</v>
      </c>
      <c r="G24" s="7" t="n">
        <v>5</v>
      </c>
      <c r="H24" s="7" t="n">
        <v>4</v>
      </c>
      <c r="I24" s="4" t="n">
        <f aca="false">G24*H24</f>
        <v>20</v>
      </c>
      <c r="J24" s="8" t="n">
        <f aca="false">RANK(I24,$I$5:$I$28,0)+COUNTIF($I$5:I24,I24)-1</f>
        <v>8</v>
      </c>
      <c r="K24" s="7" t="s">
        <v>21</v>
      </c>
      <c r="L24" s="9" t="n">
        <v>90000</v>
      </c>
      <c r="M24" s="7" t="n">
        <v>25</v>
      </c>
      <c r="N24" s="7" t="n">
        <v>3</v>
      </c>
    </row>
    <row r="25" customFormat="false" ht="15" hidden="false" customHeight="false" outlineLevel="0" collapsed="false">
      <c r="A25" s="4" t="n">
        <v>21</v>
      </c>
      <c r="B25" s="4" t="s">
        <v>44</v>
      </c>
      <c r="C25" s="5" t="s">
        <v>51</v>
      </c>
      <c r="D25" s="4" t="s">
        <v>46</v>
      </c>
      <c r="E25" s="6" t="n">
        <v>46300</v>
      </c>
      <c r="F25" s="6" t="n">
        <v>46323</v>
      </c>
      <c r="G25" s="7" t="n">
        <v>4</v>
      </c>
      <c r="H25" s="7" t="n">
        <v>4</v>
      </c>
      <c r="I25" s="4" t="n">
        <f aca="false">G25*H25</f>
        <v>16</v>
      </c>
      <c r="J25" s="8" t="n">
        <f aca="false">RANK(I25,$I$5:$I$28,0)+COUNTIF($I$5:I25,I25)-1</f>
        <v>13</v>
      </c>
      <c r="K25" s="7" t="s">
        <v>21</v>
      </c>
      <c r="L25" s="9" t="n">
        <v>100000</v>
      </c>
      <c r="M25" s="7" t="n">
        <v>30</v>
      </c>
      <c r="N25" s="7" t="n">
        <v>2</v>
      </c>
    </row>
    <row r="26" customFormat="false" ht="15" hidden="false" customHeight="false" outlineLevel="0" collapsed="false">
      <c r="A26" s="4" t="n">
        <v>22</v>
      </c>
      <c r="B26" s="4" t="s">
        <v>44</v>
      </c>
      <c r="C26" s="5" t="s">
        <v>52</v>
      </c>
      <c r="D26" s="4" t="s">
        <v>49</v>
      </c>
      <c r="E26" s="6" t="n">
        <v>46315</v>
      </c>
      <c r="F26" s="6" t="n">
        <v>46328</v>
      </c>
      <c r="G26" s="7" t="n">
        <v>5</v>
      </c>
      <c r="H26" s="7" t="n">
        <v>5</v>
      </c>
      <c r="I26" s="4" t="n">
        <f aca="false">G26*H26</f>
        <v>25</v>
      </c>
      <c r="J26" s="8" t="n">
        <f aca="false">RANK(I26,$I$5:$I$28,0)+COUNTIF($I$5:I26,I26)-1</f>
        <v>4</v>
      </c>
      <c r="K26" s="7" t="s">
        <v>21</v>
      </c>
      <c r="L26" s="9" t="n">
        <v>5000</v>
      </c>
      <c r="M26" s="7" t="n">
        <v>25</v>
      </c>
      <c r="N26" s="7" t="n">
        <v>0</v>
      </c>
    </row>
    <row r="27" customFormat="false" ht="15" hidden="false" customHeight="false" outlineLevel="0" collapsed="false">
      <c r="A27" s="4" t="n">
        <v>23</v>
      </c>
      <c r="B27" s="4" t="s">
        <v>44</v>
      </c>
      <c r="C27" s="5" t="s">
        <v>53</v>
      </c>
      <c r="D27" s="4" t="s">
        <v>46</v>
      </c>
      <c r="E27" s="6" t="n">
        <v>46285</v>
      </c>
      <c r="F27" s="6" t="n">
        <v>46305</v>
      </c>
      <c r="G27" s="7" t="n">
        <v>3</v>
      </c>
      <c r="H27" s="7" t="n">
        <v>3</v>
      </c>
      <c r="I27" s="4" t="n">
        <f aca="false">G27*H27</f>
        <v>9</v>
      </c>
      <c r="J27" s="8" t="n">
        <f aca="false">RANK(I27,$I$5:$I$28,0)+COUNTIF($I$5:I27,I27)-1</f>
        <v>20</v>
      </c>
      <c r="K27" s="7" t="s">
        <v>19</v>
      </c>
      <c r="L27" s="9" t="n">
        <v>35000</v>
      </c>
      <c r="M27" s="7" t="n">
        <v>12</v>
      </c>
      <c r="N27" s="7" t="n">
        <v>2</v>
      </c>
    </row>
    <row r="28" customFormat="false" ht="15" hidden="false" customHeight="false" outlineLevel="0" collapsed="false">
      <c r="A28" s="4" t="n">
        <v>24</v>
      </c>
      <c r="B28" s="4" t="s">
        <v>44</v>
      </c>
      <c r="C28" s="5" t="s">
        <v>54</v>
      </c>
      <c r="D28" s="4" t="s">
        <v>49</v>
      </c>
      <c r="E28" s="6" t="n">
        <v>46329</v>
      </c>
      <c r="F28" s="6" t="n">
        <v>46338</v>
      </c>
      <c r="G28" s="7" t="n">
        <v>2</v>
      </c>
      <c r="H28" s="7" t="n">
        <v>2</v>
      </c>
      <c r="I28" s="4" t="n">
        <f aca="false">G28*H28</f>
        <v>4</v>
      </c>
      <c r="J28" s="8" t="n">
        <f aca="false">RANK(I28,$I$5:$I$28,0)+COUNTIF($I$5:I28,I28)-1</f>
        <v>23</v>
      </c>
      <c r="K28" s="7" t="s">
        <v>21</v>
      </c>
      <c r="L28" s="9" t="n">
        <v>0</v>
      </c>
      <c r="M28" s="7" t="n">
        <v>10</v>
      </c>
      <c r="N28" s="7" t="n">
        <v>0</v>
      </c>
    </row>
  </sheetData>
  <mergeCells count="2">
    <mergeCell ref="A1:N1"/>
    <mergeCell ref="A2:N2"/>
  </mergeCells>
  <conditionalFormatting sqref="K5:K28">
    <cfRule type="cellIs" priority="2" operator="equal" aboveAverage="0" equalAverage="0" bottom="0" percent="0" rank="0" text="" dxfId="0">
      <formula>"Cancelled"</formula>
    </cfRule>
    <cfRule type="cellIs" priority="3" operator="equal" aboveAverage="0" equalAverage="0" bottom="0" percent="0" rank="0" text="" dxfId="1">
      <formula>"Completed"</formula>
    </cfRule>
    <cfRule type="cellIs" priority="4" operator="equal" aboveAverage="0" equalAverage="0" bottom="0" percent="0" rank="0" text="" dxfId="2">
      <formula>"In Progress"</formula>
    </cfRule>
  </conditionalFormatting>
  <conditionalFormatting sqref="J5:J28">
    <cfRule type="cellIs" priority="5" operator="lessThanOrEqual" aboveAverage="0" equalAverage="0" bottom="0" percent="0" rank="0" text="" dxfId="3">
      <formula>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1" t="s">
        <v>55</v>
      </c>
      <c r="B1" s="1"/>
      <c r="C1" s="1"/>
    </row>
    <row r="2" customFormat="false" ht="15" hidden="false" customHeight="false" outlineLevel="0" collapsed="false">
      <c r="A2" s="2" t="s">
        <v>56</v>
      </c>
      <c r="B2" s="2"/>
      <c r="C2" s="2"/>
    </row>
    <row r="4" customFormat="false" ht="26.85" hidden="false" customHeight="false" outlineLevel="0" collapsed="false">
      <c r="A4" s="3" t="s">
        <v>57</v>
      </c>
      <c r="B4" s="3" t="s">
        <v>58</v>
      </c>
      <c r="C4" s="3" t="s">
        <v>59</v>
      </c>
    </row>
    <row r="5" customFormat="false" ht="15" hidden="false" customHeight="false" outlineLevel="0" collapsed="false">
      <c r="A5" s="4" t="s">
        <v>60</v>
      </c>
      <c r="B5" s="10" t="n">
        <v>500000</v>
      </c>
      <c r="C5" s="4" t="s">
        <v>61</v>
      </c>
    </row>
    <row r="6" customFormat="false" ht="15" hidden="false" customHeight="false" outlineLevel="0" collapsed="false">
      <c r="A6" s="4" t="s">
        <v>62</v>
      </c>
      <c r="B6" s="11" t="n">
        <v>550</v>
      </c>
      <c r="C6" s="4" t="s">
        <v>63</v>
      </c>
    </row>
    <row r="7" customFormat="false" ht="15" hidden="false" customHeight="false" outlineLevel="0" collapsed="false">
      <c r="A7" s="4" t="s">
        <v>64</v>
      </c>
      <c r="B7" s="11" t="n">
        <v>35</v>
      </c>
      <c r="C7" s="4" t="s">
        <v>65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66</v>
      </c>
      <c r="B1" s="1"/>
      <c r="C1" s="1"/>
      <c r="D1" s="1"/>
      <c r="E1" s="1"/>
    </row>
    <row r="2" customFormat="false" ht="15" hidden="false" customHeight="false" outlineLevel="0" collapsed="false">
      <c r="A2" s="2" t="s">
        <v>67</v>
      </c>
      <c r="B2" s="2"/>
      <c r="C2" s="2"/>
      <c r="D2" s="2"/>
      <c r="E2" s="2"/>
    </row>
    <row r="4" customFormat="false" ht="26.85" hidden="false" customHeight="false" outlineLevel="0" collapsed="false">
      <c r="A4" s="3" t="s">
        <v>57</v>
      </c>
      <c r="B4" s="3" t="s">
        <v>68</v>
      </c>
      <c r="C4" s="3" t="s">
        <v>69</v>
      </c>
      <c r="D4" s="3" t="s">
        <v>70</v>
      </c>
      <c r="E4" s="3" t="s">
        <v>71</v>
      </c>
    </row>
    <row r="5" customFormat="false" ht="15" hidden="false" customHeight="false" outlineLevel="0" collapsed="false">
      <c r="A5" s="4" t="s">
        <v>60</v>
      </c>
      <c r="B5" s="12" t="n">
        <f aca="false">'Resource Capacity'!B5</f>
        <v>500000</v>
      </c>
      <c r="C5" s="12" t="n">
        <f aca="false">SUMIFS(Tasks!L5:L28,Tasks!$K$5:$K$28,"&lt;&gt;Cancelled")</f>
        <v>824000</v>
      </c>
      <c r="D5" s="13" t="n">
        <f aca="false">C5/B5</f>
        <v>1.648</v>
      </c>
      <c r="E5" s="14" t="str">
        <f aca="false">IF(D5&gt;1,"Over-allocated",IF(D5&gt;0.85,"Near Capacity","Healthy"))</f>
        <v>Over-allocated</v>
      </c>
    </row>
    <row r="6" customFormat="false" ht="15" hidden="false" customHeight="false" outlineLevel="0" collapsed="false">
      <c r="A6" s="4" t="s">
        <v>62</v>
      </c>
      <c r="B6" s="15" t="n">
        <f aca="false">'Resource Capacity'!B6</f>
        <v>550</v>
      </c>
      <c r="C6" s="15" t="n">
        <f aca="false">SUMIFS(Tasks!M5:M28,Tasks!$K$5:$K$28,"&lt;&gt;Cancelled")</f>
        <v>507</v>
      </c>
      <c r="D6" s="13" t="n">
        <f aca="false">C6/B6</f>
        <v>0.921818181818182</v>
      </c>
      <c r="E6" s="14" t="str">
        <f aca="false">IF(D6&gt;1,"Over-allocated",IF(D6&gt;0.85,"Near Capacity","Healthy"))</f>
        <v>Near Capacity</v>
      </c>
    </row>
    <row r="7" customFormat="false" ht="15" hidden="false" customHeight="false" outlineLevel="0" collapsed="false">
      <c r="A7" s="4" t="s">
        <v>64</v>
      </c>
      <c r="B7" s="15" t="n">
        <f aca="false">'Resource Capacity'!B7</f>
        <v>35</v>
      </c>
      <c r="C7" s="15" t="n">
        <f aca="false">SUMIFS(Tasks!N5:N28,Tasks!$K$5:$K$28,"&lt;&gt;Cancelled")</f>
        <v>27</v>
      </c>
      <c r="D7" s="13" t="n">
        <f aca="false">C7/B7</f>
        <v>0.771428571428572</v>
      </c>
      <c r="E7" s="14" t="str">
        <f aca="false">IF(D7&gt;1,"Over-allocated",IF(D7&gt;0.85,"Near Capacity","Healthy"))</f>
        <v>Healthy</v>
      </c>
    </row>
    <row r="10" customFormat="false" ht="15" hidden="false" customHeight="false" outlineLevel="0" collapsed="false">
      <c r="A10" s="16" t="s">
        <v>72</v>
      </c>
    </row>
    <row r="11" customFormat="false" ht="26.85" hidden="false" customHeight="false" outlineLevel="0" collapsed="false">
      <c r="A11" s="3" t="s">
        <v>3</v>
      </c>
      <c r="B11" s="3" t="s">
        <v>73</v>
      </c>
      <c r="C11" s="3" t="s">
        <v>74</v>
      </c>
      <c r="D11" s="3" t="s">
        <v>75</v>
      </c>
    </row>
    <row r="12" customFormat="false" ht="15" hidden="false" customHeight="false" outlineLevel="0" collapsed="false">
      <c r="A12" s="4" t="s">
        <v>16</v>
      </c>
      <c r="B12" s="12" t="n">
        <f aca="false">SUMIFS(Tasks!$L$5:$L$28,Tasks!$B$5:$B$28,A12,Tasks!$K$5:$K$28,"&lt;&gt;Cancelled")</f>
        <v>285000</v>
      </c>
      <c r="C12" s="15" t="n">
        <f aca="false">SUMIFS(Tasks!$M$5:$M$28,Tasks!$B$5:$B$28,A12,Tasks!$K$5:$K$28,"&lt;&gt;Cancelled")</f>
        <v>170</v>
      </c>
      <c r="D12" s="15" t="n">
        <f aca="false">SUMIFS(Tasks!$N$5:$N$28,Tasks!$B$5:$B$28,A12,Tasks!$K$5:$K$28,"&lt;&gt;Cancelled")</f>
        <v>11</v>
      </c>
    </row>
    <row r="13" customFormat="false" ht="15" hidden="false" customHeight="false" outlineLevel="0" collapsed="false">
      <c r="A13" s="4" t="s">
        <v>33</v>
      </c>
      <c r="B13" s="12" t="n">
        <f aca="false">SUMIFS(Tasks!$L$5:$L$28,Tasks!$B$5:$B$28,A13,Tasks!$K$5:$K$28,"&lt;&gt;Cancelled")</f>
        <v>81000</v>
      </c>
      <c r="C13" s="15" t="n">
        <f aca="false">SUMIFS(Tasks!$M$5:$M$28,Tasks!$B$5:$B$28,A13,Tasks!$K$5:$K$28,"&lt;&gt;Cancelled")</f>
        <v>175</v>
      </c>
      <c r="D13" s="15" t="n">
        <f aca="false">SUMIFS(Tasks!$N$5:$N$28,Tasks!$B$5:$B$28,A13,Tasks!$K$5:$K$28,"&lt;&gt;Cancelled")</f>
        <v>4</v>
      </c>
    </row>
    <row r="14" customFormat="false" ht="15" hidden="false" customHeight="false" outlineLevel="0" collapsed="false">
      <c r="A14" s="4" t="s">
        <v>44</v>
      </c>
      <c r="B14" s="12" t="n">
        <f aca="false">SUMIFS(Tasks!$L$5:$L$28,Tasks!$B$5:$B$28,A14,Tasks!$K$5:$K$28,"&lt;&gt;Cancelled")</f>
        <v>458000</v>
      </c>
      <c r="C14" s="15" t="n">
        <f aca="false">SUMIFS(Tasks!$M$5:$M$28,Tasks!$B$5:$B$28,A14,Tasks!$K$5:$K$28,"&lt;&gt;Cancelled")</f>
        <v>162</v>
      </c>
      <c r="D14" s="15" t="n">
        <f aca="false">SUMIFS(Tasks!$N$5:$N$28,Tasks!$B$5:$B$28,A14,Tasks!$K$5:$K$28,"&lt;&gt;Cancelled")</f>
        <v>12</v>
      </c>
    </row>
  </sheetData>
  <mergeCells count="2">
    <mergeCell ref="A1:E1"/>
    <mergeCell ref="A2:E2"/>
  </mergeCells>
  <conditionalFormatting sqref="E5:E7">
    <cfRule type="cellIs" priority="2" operator="equal" aboveAverage="0" equalAverage="0" bottom="0" percent="0" rank="0" text="" dxfId="4">
      <formula>"Over-allocated"</formula>
    </cfRule>
    <cfRule type="cellIs" priority="3" operator="equal" aboveAverage="0" equalAverage="0" bottom="0" percent="0" rank="0" text="" dxfId="5">
      <formula>"Near Capacity"</formula>
    </cfRule>
    <cfRule type="cellIs" priority="4" operator="equal" aboveAverage="0" equalAverage="0" bottom="0" percent="0" rank="0" text="" dxfId="6">
      <formula>"Healthy"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4"/>
    <col collapsed="false" customWidth="true" hidden="false" outlineLevel="0" max="7" min="7" style="0" width="24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76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16" t="s">
        <v>77</v>
      </c>
      <c r="B3" s="17" t="n">
        <f aca="false">COUNTIFS(Tasks!$K$5:$K$28,"&lt;&gt;Cancelled")</f>
        <v>22</v>
      </c>
    </row>
    <row r="4" customFormat="false" ht="15" hidden="false" customHeight="false" outlineLevel="0" collapsed="false">
      <c r="A4" s="16" t="s">
        <v>78</v>
      </c>
      <c r="B4" s="17" t="n">
        <f aca="false">COUNTIF(Tasks!$K$5:$K$28,"Cancelled")</f>
        <v>2</v>
      </c>
    </row>
    <row r="5" customFormat="false" ht="15" hidden="false" customHeight="false" outlineLevel="0" collapsed="false">
      <c r="A5" s="16" t="s">
        <v>79</v>
      </c>
      <c r="B5" s="17" t="n">
        <f aca="false">COUNTIF('Allocation Tracker'!$E$5:$E$7,"Over-allocated")</f>
        <v>1</v>
      </c>
    </row>
    <row r="7" customFormat="false" ht="15" hidden="false" customHeight="false" outlineLevel="0" collapsed="false">
      <c r="A7" s="16" t="s">
        <v>80</v>
      </c>
      <c r="B7" s="16" t="s">
        <v>70</v>
      </c>
      <c r="D7" s="16" t="s">
        <v>12</v>
      </c>
      <c r="E7" s="16" t="s">
        <v>81</v>
      </c>
      <c r="G7" s="16" t="s">
        <v>3</v>
      </c>
      <c r="H7" s="16" t="s">
        <v>82</v>
      </c>
    </row>
    <row r="8" customFormat="false" ht="15" hidden="false" customHeight="false" outlineLevel="0" collapsed="false">
      <c r="A8" s="0" t="str">
        <f aca="false">'Allocation Tracker'!A5</f>
        <v>Budget</v>
      </c>
      <c r="B8" s="18" t="n">
        <f aca="false">'Allocation Tracker'!D5</f>
        <v>1.648</v>
      </c>
      <c r="D8" s="19" t="s">
        <v>19</v>
      </c>
      <c r="E8" s="19" t="n">
        <f aca="false">COUNTIF(Tasks!$K$5:$K$28,"In Progress")</f>
        <v>7</v>
      </c>
      <c r="G8" s="0" t="str">
        <f aca="false">'Allocation Tracker'!A12</f>
        <v>Product Launch - SolarX</v>
      </c>
      <c r="H8" s="20" t="n">
        <f aca="false">'Allocation Tracker'!B12</f>
        <v>285000</v>
      </c>
    </row>
    <row r="9" customFormat="false" ht="15" hidden="false" customHeight="false" outlineLevel="0" collapsed="false">
      <c r="A9" s="0" t="str">
        <f aca="false">'Allocation Tracker'!A6</f>
        <v>Staff Hours</v>
      </c>
      <c r="B9" s="18" t="n">
        <f aca="false">'Allocation Tracker'!D6</f>
        <v>0.921818181818182</v>
      </c>
      <c r="D9" s="19" t="s">
        <v>21</v>
      </c>
      <c r="E9" s="19" t="n">
        <f aca="false">COUNTIF(Tasks!$K$5:$K$28,"Planned")</f>
        <v>12</v>
      </c>
      <c r="G9" s="0" t="str">
        <f aca="false">'Allocation Tracker'!A13</f>
        <v>Campus Hiring Drive</v>
      </c>
      <c r="H9" s="20" t="n">
        <f aca="false">'Allocation Tracker'!B13</f>
        <v>81000</v>
      </c>
    </row>
    <row r="10" customFormat="false" ht="15" hidden="false" customHeight="false" outlineLevel="0" collapsed="false">
      <c r="A10" s="0" t="str">
        <f aca="false">'Allocation Tracker'!A7</f>
        <v>Vendor Slots</v>
      </c>
      <c r="B10" s="18" t="n">
        <f aca="false">'Allocation Tracker'!D7</f>
        <v>0.771428571428572</v>
      </c>
      <c r="D10" s="19" t="s">
        <v>29</v>
      </c>
      <c r="E10" s="19" t="n">
        <f aca="false">COUNTIF(Tasks!$K$5:$K$28,"Completed")</f>
        <v>3</v>
      </c>
      <c r="G10" s="0" t="str">
        <f aca="false">'Allocation Tracker'!A14</f>
        <v>Annual Partner Meet</v>
      </c>
      <c r="H10" s="20" t="n">
        <f aca="false">'Allocation Tracker'!B14</f>
        <v>458000</v>
      </c>
    </row>
    <row r="11" customFormat="false" ht="15" hidden="false" customHeight="false" outlineLevel="0" collapsed="false">
      <c r="D11" s="0" t="s">
        <v>32</v>
      </c>
      <c r="E11" s="0" t="n">
        <f aca="false">COUNTIF(Tasks!$K$5:$K$28,"Cancelled")</f>
        <v>2</v>
      </c>
    </row>
    <row r="14" customFormat="false" ht="15" hidden="false" customHeight="false" outlineLevel="0" collapsed="false">
      <c r="A14" s="21" t="s">
        <v>83</v>
      </c>
      <c r="B14" s="21"/>
      <c r="C14" s="21"/>
      <c r="D14" s="21"/>
      <c r="E14" s="21"/>
    </row>
    <row r="15" customFormat="false" ht="15" hidden="false" customHeight="false" outlineLevel="0" collapsed="false">
      <c r="A15" s="3" t="s">
        <v>84</v>
      </c>
      <c r="B15" s="3" t="s">
        <v>4</v>
      </c>
      <c r="C15" s="3" t="s">
        <v>3</v>
      </c>
      <c r="D15" s="3" t="s">
        <v>10</v>
      </c>
      <c r="E15" s="3" t="s">
        <v>12</v>
      </c>
    </row>
    <row r="16" customFormat="false" ht="15" hidden="false" customHeight="false" outlineLevel="0" collapsed="false">
      <c r="A16" s="4" t="n">
        <v>1</v>
      </c>
      <c r="B16" s="4" t="str">
        <f aca="false">INDEX(Tasks!$C$5:$C$28,MATCH(A16,Tasks!$J$5:$J$28,0))</f>
        <v>Finalize product packaging design</v>
      </c>
      <c r="C16" s="4" t="str">
        <f aca="false">INDEX(Tasks!$B$5:$B$28,MATCH(A16,Tasks!$J$5:$J$28,0))</f>
        <v>Product Launch - SolarX</v>
      </c>
      <c r="D16" s="4" t="n">
        <f aca="false">INDEX(Tasks!$I$5:$I$28,MATCH(A16,Tasks!$J$5:$J$28,0))</f>
        <v>25</v>
      </c>
      <c r="E16" s="4" t="str">
        <f aca="false">INDEX(Tasks!$K$5:$K$28,MATCH(A16,Tasks!$J$5:$J$28,0))</f>
        <v>In Progress</v>
      </c>
    </row>
    <row r="17" customFormat="false" ht="15" hidden="false" customHeight="false" outlineLevel="0" collapsed="false">
      <c r="A17" s="4" t="n">
        <v>2</v>
      </c>
      <c r="B17" s="4" t="str">
        <f aca="false">INDEX(Tasks!$C$5:$C$28,MATCH(A17,Tasks!$J$5:$J$28,0))</f>
        <v>Schedule interview panels</v>
      </c>
      <c r="C17" s="4" t="str">
        <f aca="false">INDEX(Tasks!$B$5:$B$28,MATCH(A17,Tasks!$J$5:$J$28,0))</f>
        <v>Campus Hiring Drive</v>
      </c>
      <c r="D17" s="4" t="n">
        <f aca="false">INDEX(Tasks!$I$5:$I$28,MATCH(A17,Tasks!$J$5:$J$28,0))</f>
        <v>25</v>
      </c>
      <c r="E17" s="4" t="str">
        <f aca="false">INDEX(Tasks!$K$5:$K$28,MATCH(A17,Tasks!$J$5:$J$28,0))</f>
        <v>Planned</v>
      </c>
    </row>
    <row r="18" customFormat="false" ht="15" hidden="false" customHeight="false" outlineLevel="0" collapsed="false">
      <c r="A18" s="4" t="n">
        <v>3</v>
      </c>
      <c r="B18" s="4" t="str">
        <f aca="false">INDEX(Tasks!$C$5:$C$28,MATCH(A18,Tasks!$J$5:$J$28,0))</f>
        <v>Venue shortlisting and booking</v>
      </c>
      <c r="C18" s="4" t="str">
        <f aca="false">INDEX(Tasks!$B$5:$B$28,MATCH(A18,Tasks!$J$5:$J$28,0))</f>
        <v>Annual Partner Meet</v>
      </c>
      <c r="D18" s="4" t="n">
        <f aca="false">INDEX(Tasks!$I$5:$I$28,MATCH(A18,Tasks!$J$5:$J$28,0))</f>
        <v>25</v>
      </c>
      <c r="E18" s="4" t="str">
        <f aca="false">INDEX(Tasks!$K$5:$K$28,MATCH(A18,Tasks!$J$5:$J$28,0))</f>
        <v>In Progress</v>
      </c>
    </row>
    <row r="19" customFormat="false" ht="15" hidden="false" customHeight="false" outlineLevel="0" collapsed="false">
      <c r="A19" s="4" t="n">
        <v>4</v>
      </c>
      <c r="B19" s="4" t="str">
        <f aca="false">INDEX(Tasks!$C$5:$C$28,MATCH(A19,Tasks!$J$5:$J$28,0))</f>
        <v>Event day run-sheet planning</v>
      </c>
      <c r="C19" s="4" t="str">
        <f aca="false">INDEX(Tasks!$B$5:$B$28,MATCH(A19,Tasks!$J$5:$J$28,0))</f>
        <v>Annual Partner Meet</v>
      </c>
      <c r="D19" s="4" t="n">
        <f aca="false">INDEX(Tasks!$I$5:$I$28,MATCH(A19,Tasks!$J$5:$J$28,0))</f>
        <v>25</v>
      </c>
      <c r="E19" s="4" t="str">
        <f aca="false">INDEX(Tasks!$K$5:$K$28,MATCH(A19,Tasks!$J$5:$J$28,0))</f>
        <v>Planned</v>
      </c>
    </row>
    <row r="20" customFormat="false" ht="15" hidden="false" customHeight="false" outlineLevel="0" collapsed="false">
      <c r="A20" s="4" t="n">
        <v>5</v>
      </c>
      <c r="B20" s="4" t="str">
        <f aca="false">INDEX(Tasks!$C$5:$C$28,MATCH(A20,Tasks!$J$5:$J$28,0))</f>
        <v>Social media campaign setup</v>
      </c>
      <c r="C20" s="4" t="str">
        <f aca="false">INDEX(Tasks!$B$5:$B$28,MATCH(A20,Tasks!$J$5:$J$28,0))</f>
        <v>Product Launch - SolarX</v>
      </c>
      <c r="D20" s="4" t="n">
        <f aca="false">INDEX(Tasks!$I$5:$I$28,MATCH(A20,Tasks!$J$5:$J$28,0))</f>
        <v>20</v>
      </c>
      <c r="E20" s="4" t="str">
        <f aca="false">INDEX(Tasks!$K$5:$K$28,MATCH(A20,Tasks!$J$5:$J$28,0))</f>
        <v>In Progress</v>
      </c>
    </row>
  </sheetData>
  <mergeCells count="2">
    <mergeCell ref="A1:H1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2026-09-25T14:03:27Z</dcterms:created>
  <dc:creator>openpyxl</dc:creator>
  <dc:description/>
  <dc:language>en-US</dc:language>
  <cp:lastModifiedBy/>
  <dcterms:modified xsi:type="dcterms:W3CDTF">2026-09-25T14:03:29Z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